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CMV &amp; Margem" sheetId="2" state="visible" r:id="rId2"/>
    <sheet xmlns:r="http://schemas.openxmlformats.org/officeDocument/2006/relationships" name="Ruptura de Estoque" sheetId="3" state="visible" r:id="rId3"/>
    <sheet xmlns:r="http://schemas.openxmlformats.org/officeDocument/2006/relationships" name="Power Query — Lógi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FFFFFF"/>
      <sz val="10"/>
    </font>
    <font>
      <color rgb="001A1A18"/>
      <sz val="9"/>
    </font>
    <font>
      <b val="1"/>
      <color rgb="001A1A18"/>
      <sz val="9"/>
    </font>
    <font>
      <b val="1"/>
      <color rgb="00FFFFFF"/>
      <sz val="11"/>
    </font>
    <font>
      <sz val="9"/>
    </font>
    <font>
      <b val="1"/>
      <sz val="9"/>
    </font>
    <font>
      <b val="1"/>
      <color rgb="00FFFFFF"/>
      <sz val="12"/>
    </font>
    <font>
      <b val="1"/>
      <color rgb="00085041"/>
      <sz val="9"/>
    </font>
    <font>
      <name val="Courier New"/>
      <color rgb="001A1A18"/>
      <sz val="9"/>
    </font>
  </fonts>
  <fills count="10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1D9E75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F8F7F3"/>
      </patternFill>
    </fill>
    <fill>
      <patternFill patternType="solid">
        <fgColor rgb="00E5F9F0"/>
      </patternFill>
    </fill>
    <fill>
      <patternFill patternType="solid">
        <fgColor rgb="00FFE5E5"/>
      </patternFill>
    </fill>
    <fill>
      <patternFill patternType="solid">
        <fgColor rgb="00FFF9E5"/>
      </patternFill>
    </fill>
  </fills>
  <borders count="2">
    <border>
      <left/>
      <right/>
      <top/>
      <bottom/>
      <diagonal/>
    </border>
    <border>
      <left style="thin">
        <color rgb="00E0DDD8"/>
      </left>
      <right style="thin">
        <color rgb="00E0DDD8"/>
      </right>
      <top style="thin">
        <color rgb="00E0DDD8"/>
      </top>
      <bottom style="thin">
        <color rgb="00E0DDD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/>
    </xf>
    <xf numFmtId="165" fontId="8" fillId="7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/>
    </xf>
    <xf numFmtId="165" fontId="8" fillId="8" borderId="1" applyAlignment="1" pivotButton="0" quotePrefix="0" xfId="0">
      <alignment horizontal="center"/>
    </xf>
    <xf numFmtId="165" fontId="7" fillId="7" borderId="1" applyAlignment="1" pivotButton="0" quotePrefix="0" xfId="0">
      <alignment horizontal="center"/>
    </xf>
    <xf numFmtId="165" fontId="7" fillId="8" borderId="1" applyAlignment="1" pivotButton="0" quotePrefix="0" xfId="0">
      <alignment horizontal="center"/>
    </xf>
    <xf numFmtId="165" fontId="8" fillId="9" borderId="1" applyAlignment="1" pivotButton="0" quotePrefix="0" xfId="0">
      <alignment horizontal="center"/>
    </xf>
    <xf numFmtId="165" fontId="7" fillId="9" borderId="1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RESUMO EXECUTIVO — VAREJO FARMACÊUTICO</t>
        </is>
      </c>
    </row>
    <row r="2" ht="18" customHeight="1">
      <c r="A2" s="2" t="inlineStr">
        <is>
          <t>Santos &amp; Abreu — Gestão de Drogarias  |  Jan–Mai 2025  |  Emanoel Cavalcante</t>
        </is>
      </c>
    </row>
    <row r="4" ht="24" customHeight="1">
      <c r="A4" s="3" t="inlineStr">
        <is>
          <t>Categoria</t>
        </is>
      </c>
      <c r="B4" s="3" t="inlineStr">
        <is>
          <t>Jan/25</t>
        </is>
      </c>
      <c r="C4" s="3" t="inlineStr">
        <is>
          <t>Fev/25</t>
        </is>
      </c>
      <c r="D4" s="3" t="inlineStr">
        <is>
          <t>Mar/25</t>
        </is>
      </c>
      <c r="E4" s="3" t="inlineStr">
        <is>
          <t>Abr/25</t>
        </is>
      </c>
      <c r="F4" s="3" t="inlineStr">
        <is>
          <t>Mai/25</t>
        </is>
      </c>
      <c r="G4" s="3" t="inlineStr">
        <is>
          <t>TOTAL</t>
        </is>
      </c>
    </row>
    <row r="5" ht="18" customHeight="1">
      <c r="A5" s="4" t="inlineStr">
        <is>
          <t>Medicamentos Genéricos</t>
        </is>
      </c>
      <c r="B5" s="5" t="n">
        <v>50683</v>
      </c>
      <c r="C5" s="5" t="n">
        <v>33638</v>
      </c>
      <c r="D5" s="5" t="n">
        <v>35463</v>
      </c>
      <c r="E5" s="5" t="n">
        <v>74069</v>
      </c>
      <c r="F5" s="5" t="n">
        <v>50814</v>
      </c>
      <c r="G5" s="6" t="n">
        <v>244667</v>
      </c>
    </row>
    <row r="6" ht="18" customHeight="1">
      <c r="A6" s="7" t="inlineStr">
        <is>
          <t>Dermocosméticos</t>
        </is>
      </c>
      <c r="B6" s="8" t="n">
        <v>71438</v>
      </c>
      <c r="C6" s="8" t="n">
        <v>20520</v>
      </c>
      <c r="D6" s="8" t="n">
        <v>74465</v>
      </c>
      <c r="E6" s="8" t="n">
        <v>48800</v>
      </c>
      <c r="F6" s="8" t="n">
        <v>48508</v>
      </c>
      <c r="G6" s="6" t="n">
        <v>263731</v>
      </c>
    </row>
    <row r="7" ht="18" customHeight="1">
      <c r="A7" s="4" t="inlineStr">
        <is>
          <t>Higiene Pessoal</t>
        </is>
      </c>
      <c r="B7" s="5" t="n">
        <v>31103</v>
      </c>
      <c r="C7" s="5" t="n">
        <v>49750</v>
      </c>
      <c r="D7" s="5" t="n">
        <v>50227</v>
      </c>
      <c r="E7" s="5" t="n">
        <v>66824</v>
      </c>
      <c r="F7" s="5" t="n">
        <v>17718</v>
      </c>
      <c r="G7" s="6" t="n">
        <v>215622</v>
      </c>
    </row>
    <row r="8" ht="18" customHeight="1">
      <c r="A8" s="7" t="inlineStr">
        <is>
          <t>Perfumaria</t>
        </is>
      </c>
      <c r="B8" s="8" t="n">
        <v>35176</v>
      </c>
      <c r="C8" s="8" t="n">
        <v>22687</v>
      </c>
      <c r="D8" s="8" t="n">
        <v>43876</v>
      </c>
      <c r="E8" s="8" t="n">
        <v>47655</v>
      </c>
      <c r="F8" s="8" t="n">
        <v>50953</v>
      </c>
      <c r="G8" s="6" t="n">
        <v>200347</v>
      </c>
    </row>
    <row r="9" ht="18" customHeight="1">
      <c r="A9" s="4" t="inlineStr">
        <is>
          <t>Med. de Marca</t>
        </is>
      </c>
      <c r="B9" s="5" t="n">
        <v>45133</v>
      </c>
      <c r="C9" s="5" t="n">
        <v>76415</v>
      </c>
      <c r="D9" s="5" t="n">
        <v>42728</v>
      </c>
      <c r="E9" s="5" t="n">
        <v>78515</v>
      </c>
      <c r="F9" s="5" t="n">
        <v>57028</v>
      </c>
      <c r="G9" s="6" t="n">
        <v>299819</v>
      </c>
    </row>
    <row r="10" ht="18" customHeight="1">
      <c r="A10" s="7" t="inlineStr">
        <is>
          <t>Suplementos</t>
        </is>
      </c>
      <c r="B10" s="8" t="n">
        <v>23397</v>
      </c>
      <c r="C10" s="8" t="n">
        <v>75481</v>
      </c>
      <c r="D10" s="8" t="n">
        <v>51271</v>
      </c>
      <c r="E10" s="8" t="n">
        <v>49772</v>
      </c>
      <c r="F10" s="8" t="n">
        <v>46830</v>
      </c>
      <c r="G10" s="6" t="n">
        <v>246751</v>
      </c>
    </row>
    <row r="11" ht="18" customHeight="1">
      <c r="A11" s="4" t="inlineStr">
        <is>
          <t>Fraldas</t>
        </is>
      </c>
      <c r="B11" s="5" t="n">
        <v>35093</v>
      </c>
      <c r="C11" s="5" t="n">
        <v>17194</v>
      </c>
      <c r="D11" s="5" t="n">
        <v>73622</v>
      </c>
      <c r="E11" s="5" t="n">
        <v>31761</v>
      </c>
      <c r="F11" s="5" t="n">
        <v>31009</v>
      </c>
      <c r="G11" s="6" t="n">
        <v>188679</v>
      </c>
    </row>
    <row r="12" ht="18" customHeight="1">
      <c r="A12" s="7" t="inlineStr">
        <is>
          <t>OTC / Vitaminas</t>
        </is>
      </c>
      <c r="B12" s="8" t="n">
        <v>53250</v>
      </c>
      <c r="C12" s="8" t="n">
        <v>31425</v>
      </c>
      <c r="D12" s="8" t="n">
        <v>55937</v>
      </c>
      <c r="E12" s="8" t="n">
        <v>77910</v>
      </c>
      <c r="F12" s="8" t="n">
        <v>74265</v>
      </c>
      <c r="G12" s="6" t="n">
        <v>292787</v>
      </c>
    </row>
    <row r="13" ht="22" customHeight="1">
      <c r="A13" s="9" t="inlineStr">
        <is>
          <t>TOTAL GERAL</t>
        </is>
      </c>
      <c r="B13" s="10" t="n">
        <v>345273</v>
      </c>
      <c r="C13" s="10" t="n">
        <v>327110</v>
      </c>
      <c r="D13" s="10" t="n">
        <v>427589</v>
      </c>
      <c r="E13" s="10" t="n">
        <v>475306</v>
      </c>
      <c r="F13" s="10" t="n">
        <v>377125</v>
      </c>
      <c r="G13" s="11" t="n">
        <v>1952403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1" t="inlineStr">
        <is>
          <t>CMV &amp; MARGEM BRUTA POR CATEGORIA</t>
        </is>
      </c>
    </row>
    <row r="3" ht="24" customHeight="1">
      <c r="A3" s="3" t="inlineStr">
        <is>
          <t>Categoria</t>
        </is>
      </c>
      <c r="B3" s="3" t="inlineStr">
        <is>
          <t>Faturamento Total</t>
        </is>
      </c>
      <c r="C3" s="3" t="inlineStr">
        <is>
          <t>CMV %</t>
        </is>
      </c>
      <c r="D3" s="3" t="inlineStr">
        <is>
          <t>CMV R$</t>
        </is>
      </c>
      <c r="E3" s="3" t="inlineStr">
        <is>
          <t>Margem R$</t>
        </is>
      </c>
      <c r="F3" s="3" t="inlineStr">
        <is>
          <t>Margem %</t>
        </is>
      </c>
    </row>
    <row r="4" ht="18" customHeight="1">
      <c r="A4" s="7" t="inlineStr">
        <is>
          <t>Medicamentos Genéricos</t>
        </is>
      </c>
      <c r="B4" s="8" t="n">
        <v>244667</v>
      </c>
      <c r="C4" s="12" t="n">
        <v>0.474429352909942</v>
      </c>
      <c r="D4" s="13" t="n">
        <v>116077.2064884168</v>
      </c>
      <c r="E4" s="8" t="n">
        <v>128589.7935115832</v>
      </c>
      <c r="F4" s="14" t="n">
        <v>0.525570647090058</v>
      </c>
    </row>
    <row r="5" ht="18" customHeight="1">
      <c r="A5" s="4" t="inlineStr">
        <is>
          <t>Dermocosméticos</t>
        </is>
      </c>
      <c r="B5" s="5" t="n">
        <v>263731</v>
      </c>
      <c r="C5" s="15" t="n">
        <v>0.4797120465795819</v>
      </c>
      <c r="D5" s="13" t="n">
        <v>126514.9377564797</v>
      </c>
      <c r="E5" s="5" t="n">
        <v>137216.0622435203</v>
      </c>
      <c r="F5" s="14" t="n">
        <v>0.5202879534204181</v>
      </c>
    </row>
    <row r="6" ht="18" customHeight="1">
      <c r="A6" s="7" t="inlineStr">
        <is>
          <t>Higiene Pessoal</t>
        </is>
      </c>
      <c r="B6" s="8" t="n">
        <v>215622</v>
      </c>
      <c r="C6" s="12" t="n">
        <v>0.4710046976166605</v>
      </c>
      <c r="D6" s="13" t="n">
        <v>101558.9749094996</v>
      </c>
      <c r="E6" s="8" t="n">
        <v>114063.0250905004</v>
      </c>
      <c r="F6" s="14" t="n">
        <v>0.5289953023833395</v>
      </c>
    </row>
    <row r="7" ht="18" customHeight="1">
      <c r="A7" s="4" t="inlineStr">
        <is>
          <t>Perfumaria</t>
        </is>
      </c>
      <c r="B7" s="5" t="n">
        <v>200347</v>
      </c>
      <c r="C7" s="15" t="n">
        <v>0.4917179053528456</v>
      </c>
      <c r="D7" s="13" t="n">
        <v>98514.20718372655</v>
      </c>
      <c r="E7" s="5" t="n">
        <v>101832.7928162734</v>
      </c>
      <c r="F7" s="14" t="n">
        <v>0.5082820946471545</v>
      </c>
    </row>
    <row r="8" ht="18" customHeight="1">
      <c r="A8" s="7" t="inlineStr">
        <is>
          <t>Med. de Marca</t>
        </is>
      </c>
      <c r="B8" s="8" t="n">
        <v>299819</v>
      </c>
      <c r="C8" s="12" t="n">
        <v>0.4403660041829577</v>
      </c>
      <c r="D8" s="13" t="n">
        <v>132030.0950081302</v>
      </c>
      <c r="E8" s="8" t="n">
        <v>167788.9049918698</v>
      </c>
      <c r="F8" s="14" t="n">
        <v>0.5596339958170422</v>
      </c>
    </row>
    <row r="9" ht="18" customHeight="1">
      <c r="A9" s="4" t="inlineStr">
        <is>
          <t>Suplementos</t>
        </is>
      </c>
      <c r="B9" s="5" t="n">
        <v>246751</v>
      </c>
      <c r="C9" s="15" t="n">
        <v>0.446371601136355</v>
      </c>
      <c r="D9" s="13" t="n">
        <v>110142.6389519967</v>
      </c>
      <c r="E9" s="5" t="n">
        <v>136608.3610480033</v>
      </c>
      <c r="F9" s="14" t="n">
        <v>0.5536283988636449</v>
      </c>
    </row>
    <row r="10" ht="18" customHeight="1">
      <c r="A10" s="7" t="inlineStr">
        <is>
          <t>Fraldas</t>
        </is>
      </c>
      <c r="B10" s="8" t="n">
        <v>188679</v>
      </c>
      <c r="C10" s="12" t="n">
        <v>0.6699005481390238</v>
      </c>
      <c r="D10" s="16" t="n">
        <v>126396.1655223229</v>
      </c>
      <c r="E10" s="8" t="n">
        <v>62282.83447767713</v>
      </c>
      <c r="F10" s="17" t="n">
        <v>0.3300994518609762</v>
      </c>
    </row>
    <row r="11" ht="18" customHeight="1">
      <c r="A11" s="4" t="inlineStr">
        <is>
          <t>OTC / Vitaminas</t>
        </is>
      </c>
      <c r="B11" s="5" t="n">
        <v>292787</v>
      </c>
      <c r="C11" s="15" t="n">
        <v>0.6688634802799943</v>
      </c>
      <c r="D11" s="16" t="n">
        <v>195834.5318007387</v>
      </c>
      <c r="E11" s="5" t="n">
        <v>96952.46819926132</v>
      </c>
      <c r="F11" s="17" t="n">
        <v>0.3311365197200057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RUPTURA DE ESTOQUE % POR CATEGORIA — Meta ≤ 5%</t>
        </is>
      </c>
    </row>
    <row r="3" ht="24" customHeight="1">
      <c r="A3" s="3" t="inlineStr">
        <is>
          <t>Categoria</t>
        </is>
      </c>
      <c r="B3" s="3" t="inlineStr">
        <is>
          <t>Jan/25</t>
        </is>
      </c>
      <c r="C3" s="3" t="inlineStr">
        <is>
          <t>Fev/25</t>
        </is>
      </c>
      <c r="D3" s="3" t="inlineStr">
        <is>
          <t>Mar/25</t>
        </is>
      </c>
      <c r="E3" s="3" t="inlineStr">
        <is>
          <t>Abr/25</t>
        </is>
      </c>
      <c r="F3" s="3" t="inlineStr">
        <is>
          <t>Mai/25</t>
        </is>
      </c>
      <c r="G3" s="3" t="inlineStr">
        <is>
          <t>Média</t>
        </is>
      </c>
    </row>
    <row r="4" ht="18" customHeight="1">
      <c r="A4" s="7" t="inlineStr">
        <is>
          <t>Medicamentos Genéricos</t>
        </is>
      </c>
      <c r="B4" s="18" t="n">
        <v>0.04260975867151222</v>
      </c>
      <c r="C4" s="18" t="n">
        <v>0.02291678739553844</v>
      </c>
      <c r="D4" s="18" t="n">
        <v>0.04454666556559408</v>
      </c>
      <c r="E4" s="19" t="n">
        <v>0.1039812336951869</v>
      </c>
      <c r="F4" s="19" t="n">
        <v>0.1135417502666636</v>
      </c>
      <c r="G4" s="20" t="n">
        <v>0.06551923911889904</v>
      </c>
    </row>
    <row r="5" ht="18" customHeight="1">
      <c r="A5" s="4" t="inlineStr">
        <is>
          <t>Dermocosméticos</t>
        </is>
      </c>
      <c r="B5" s="18" t="n">
        <v>0.02275197109268978</v>
      </c>
      <c r="C5" s="21" t="n">
        <v>0.08931954297557074</v>
      </c>
      <c r="D5" s="18" t="n">
        <v>0.02019706072592543</v>
      </c>
      <c r="E5" s="21" t="n">
        <v>0.08185671342864723</v>
      </c>
      <c r="F5" s="21" t="n">
        <v>0.09677542113570287</v>
      </c>
      <c r="G5" s="20" t="n">
        <v>0.06218014187170721</v>
      </c>
    </row>
    <row r="6" ht="18" customHeight="1">
      <c r="A6" s="7" t="inlineStr">
        <is>
          <t>Higiene Pessoal</t>
        </is>
      </c>
      <c r="B6" s="19" t="n">
        <v>0.1382749283365027</v>
      </c>
      <c r="C6" s="21" t="n">
        <v>0.05109171156933269</v>
      </c>
      <c r="D6" s="19" t="n">
        <v>0.1162996262315444</v>
      </c>
      <c r="E6" s="19" t="n">
        <v>0.124457970440178</v>
      </c>
      <c r="F6" s="19" t="n">
        <v>0.1307299536734804</v>
      </c>
      <c r="G6" s="17" t="n">
        <v>0.1121708380502076</v>
      </c>
    </row>
    <row r="7" ht="18" customHeight="1">
      <c r="A7" s="4" t="inlineStr">
        <is>
          <t>Perfumaria</t>
        </is>
      </c>
      <c r="B7" s="18" t="n">
        <v>0.02026570550389323</v>
      </c>
      <c r="C7" s="21" t="n">
        <v>0.07633860461090927</v>
      </c>
      <c r="D7" s="19" t="n">
        <v>0.1377762485127213</v>
      </c>
      <c r="E7" s="21" t="n">
        <v>0.06787337646834206</v>
      </c>
      <c r="F7" s="19" t="n">
        <v>0.1176478973104302</v>
      </c>
      <c r="G7" s="20" t="n">
        <v>0.0839803664812592</v>
      </c>
    </row>
    <row r="8" ht="18" customHeight="1">
      <c r="A8" s="7" t="inlineStr">
        <is>
          <t>Med. de Marca</t>
        </is>
      </c>
      <c r="B8" s="21" t="n">
        <v>0.08557477975669733</v>
      </c>
      <c r="C8" s="19" t="n">
        <v>0.1125024904568269</v>
      </c>
      <c r="D8" s="21" t="n">
        <v>0.07819172899861496</v>
      </c>
      <c r="E8" s="18" t="n">
        <v>0.02349338764072613</v>
      </c>
      <c r="F8" s="18" t="n">
        <v>0.03038308260826461</v>
      </c>
      <c r="G8" s="20" t="n">
        <v>0.06602909389222598</v>
      </c>
    </row>
    <row r="9" ht="18" customHeight="1">
      <c r="A9" s="4" t="inlineStr">
        <is>
          <t>Suplementos</t>
        </is>
      </c>
      <c r="B9" s="18" t="n">
        <v>0.0333744574853628</v>
      </c>
      <c r="C9" s="21" t="n">
        <v>0.05014941340286572</v>
      </c>
      <c r="D9" s="19" t="n">
        <v>0.1357898351031638</v>
      </c>
      <c r="E9" s="21" t="n">
        <v>0.09581192632852945</v>
      </c>
      <c r="F9" s="19" t="n">
        <v>0.1179992243138434</v>
      </c>
      <c r="G9" s="20" t="n">
        <v>0.08662497132675304</v>
      </c>
    </row>
    <row r="10" ht="18" customHeight="1">
      <c r="A10" s="7" t="inlineStr">
        <is>
          <t>Fraldas</t>
        </is>
      </c>
      <c r="B10" s="21" t="n">
        <v>0.08792983953113076</v>
      </c>
      <c r="C10" s="21" t="n">
        <v>0.09624274466982717</v>
      </c>
      <c r="D10" s="19" t="n">
        <v>0.1174282869416493</v>
      </c>
      <c r="E10" s="19" t="n">
        <v>0.1312019138292649</v>
      </c>
      <c r="F10" s="19" t="n">
        <v>0.129515211644454</v>
      </c>
      <c r="G10" s="17" t="n">
        <v>0.1124635993232652</v>
      </c>
    </row>
    <row r="11" ht="18" customHeight="1">
      <c r="A11" s="4" t="inlineStr">
        <is>
          <t>OTC / Vitaminas</t>
        </is>
      </c>
      <c r="B11" s="19" t="n">
        <v>0.1189772864526231</v>
      </c>
      <c r="C11" s="18" t="n">
        <v>0.03130432786127872</v>
      </c>
      <c r="D11" s="21" t="n">
        <v>0.06332581021565709</v>
      </c>
      <c r="E11" s="18" t="n">
        <v>0.02426108381123963</v>
      </c>
      <c r="F11" s="21" t="n">
        <v>0.08556300182489682</v>
      </c>
      <c r="G11" s="20" t="n">
        <v>0.06468630203313908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28" customHeight="1">
      <c r="A1" s="22" t="inlineStr">
        <is>
          <t>DOCUMENTAÇÃO — LÓGICA POWER QUERY EQUIVALENTE</t>
        </is>
      </c>
    </row>
    <row r="2" ht="20" customHeight="1">
      <c r="A2" s="23" t="inlineStr">
        <is>
          <t>Etapa Power Query</t>
        </is>
      </c>
      <c r="B2" s="23" t="inlineStr">
        <is>
          <t>Código M / Descrição</t>
        </is>
      </c>
    </row>
    <row r="3" ht="22" customHeight="1">
      <c r="A3" s="24" t="inlineStr">
        <is>
          <t>1. Fonte de dados</t>
        </is>
      </c>
      <c r="B3" s="25">
        <f> Excel.CurrentWorkbook(){[Name="TabelaVendas"]}[Content]</f>
        <v/>
      </c>
    </row>
    <row r="4" ht="22" customHeight="1">
      <c r="A4" s="26" t="inlineStr">
        <is>
          <t>2. Tipo das colunas</t>
        </is>
      </c>
      <c r="B4" s="27">
        <f> Table.TransformColumnTypes(Fonte, {{"Data", type date}, {"Valor", type number}})</f>
        <v/>
      </c>
    </row>
    <row r="5" ht="22" customHeight="1">
      <c r="A5" s="24" t="inlineStr">
        <is>
          <t>3. Filtrar período</t>
        </is>
      </c>
      <c r="B5" s="25">
        <f> Table.SelectRows(Tipado, each [Data] &gt;= #date(2025,1,1))</f>
        <v/>
      </c>
    </row>
    <row r="6" ht="22" customHeight="1">
      <c r="A6" s="26" t="inlineStr">
        <is>
          <t>4. Coluna Mês-Ano</t>
        </is>
      </c>
      <c r="B6" s="27">
        <f> Table.AddColumn(Filtrado, "MesAno", each Date.ToText([Data], "MMM/yy"))</f>
        <v/>
      </c>
    </row>
    <row r="7" ht="22" customHeight="1">
      <c r="A7" s="24" t="inlineStr">
        <is>
          <t>5. CMV calculado</t>
        </is>
      </c>
      <c r="B7" s="25">
        <f> Table.AddColumn(t, "CMV", each [Faturamento] * [CMV_Pct])</f>
        <v/>
      </c>
    </row>
    <row r="8" ht="22" customHeight="1">
      <c r="A8" s="26" t="inlineStr">
        <is>
          <t>6. Margem bruta</t>
        </is>
      </c>
      <c r="B8" s="27">
        <f> Table.AddColumn(t, "Margem", each [Faturamento] - [CMV])</f>
        <v/>
      </c>
    </row>
    <row r="9" ht="22" customHeight="1">
      <c r="A9" s="24" t="inlineStr">
        <is>
          <t>7. Margem %</t>
        </is>
      </c>
      <c r="B9" s="25">
        <f> Table.AddColumn(t, "Margem_Pct", each [Margem] / [Faturamento])</f>
        <v/>
      </c>
    </row>
    <row r="10" ht="22" customHeight="1">
      <c r="A10" s="26" t="inlineStr">
        <is>
          <t>8. Curva ABC</t>
        </is>
      </c>
      <c r="B10" s="27">
        <f> Table.AddColumn(t, "Curva", each if [Pct_Acum] &lt;= 0.70 then "A" else if [Pct_Acum] &lt;= 0.90 then "B" else if [Pct_Acum] &lt;= 0.99 then "C" else "D")</f>
        <v/>
      </c>
    </row>
    <row r="11" ht="22" customHeight="1">
      <c r="A11" s="24" t="inlineStr">
        <is>
          <t>9. Agrupar por mês</t>
        </is>
      </c>
      <c r="B11" s="25">
        <f> Table.Group(t, {"MesAno"}, {{"Total", each List.Sum([Faturamento]), type number}})</f>
        <v/>
      </c>
    </row>
    <row r="12" ht="22" customHeight="1">
      <c r="A12" s="26" t="inlineStr">
        <is>
          <t>10. Variação MoM</t>
        </is>
      </c>
      <c r="B12" s="27">
        <f> Table.AddColumn(t, "Var_MoM", each ([Faturamento] - [Fat_Anterior]) / [Fat_Anterior])</f>
        <v/>
      </c>
    </row>
    <row r="13" ht="22" customHeight="1">
      <c r="A13" s="24" t="inlineStr">
        <is>
          <t>11. Ruptura flag</t>
        </is>
      </c>
      <c r="B13" s="25">
        <f> Table.AddColumn(t, "Alerta", each if [Ruptura_Pct] &gt; 0.05 then "⚠ Acima" else "✓ OK")</f>
        <v/>
      </c>
    </row>
    <row r="14" ht="22" customHeight="1">
      <c r="A14" s="26" t="inlineStr">
        <is>
          <t>12. Carregar no Excel</t>
        </is>
      </c>
      <c r="B14" s="27">
        <f> Table.SelectColumns(Final, {"MesAno","Categoria","Faturamento","CMV","Margem","Curva"})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2026-05-26T02:16:34Z</dcterms:created>
  <dcterms:modified xmlns:dcterms="http://purl.org/dc/terms/" xmlns:xsi="http://www.w3.org/2001/XMLSchema-instance" xsi:type="dcterms:W3CDTF">2026-05-26T02:16:34Z</dcterms:modified>
</cp:coreProperties>
</file>